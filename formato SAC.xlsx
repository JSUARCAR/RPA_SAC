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FEEAEC9A-AAB5-4738-BC35-4093E9D457B4}" xr6:coauthVersionLast="47" xr6:coauthVersionMax="47" xr10:uidLastSave="{00000000-0000-0000-0000-000000000000}"/>
  <bookViews>
    <workbookView xWindow="22932" yWindow="-108" windowWidth="23256" windowHeight="12456" xr2:uid="{1D57EA61-CDF4-4B18-AC92-9716FAF182A9}"/>
  </bookViews>
  <sheets>
    <sheet name="Hoja diagnóstico" sheetId="2" r:id="rId1"/>
    <sheet name="FLUJO" sheetId="3" r:id="rId2"/>
    <sheet name="Nivel creatividad" sheetId="4" r:id="rId3"/>
    <sheet name="Papel vs Digitalización" sheetId="5" r:id="rId4"/>
    <sheet name="informacion estructurada" sheetId="6" r:id="rId5"/>
    <sheet name="Cambios" sheetId="7" r:id="rId6"/>
    <sheet name="Hoja1" sheetId="1" r:id="rId7"/>
  </sheets>
  <definedNames>
    <definedName name="_xlnm.Print_Area" localSheetId="5">Cambios!$A$1:$H$20</definedName>
    <definedName name="_xlnm.Print_Area" localSheetId="0">'Hoja diagnóstico'!$A$1:$H$56</definedName>
    <definedName name="_xlnm.Print_Area" localSheetId="4">'informacion estructurada'!$C$1:$I$22</definedName>
    <definedName name="_xlnm.Print_Area" localSheetId="2">'Nivel creatividad'!$A$1:$H$16</definedName>
    <definedName name="_xlnm.Print_Area" localSheetId="3">'Papel vs Digitalización'!$A$1:$J$20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7" l="1"/>
  <c r="C38" i="2" s="1"/>
  <c r="E12" i="6"/>
  <c r="C37" i="2" s="1"/>
  <c r="D10" i="5"/>
  <c r="C36" i="2" s="1"/>
  <c r="D7" i="4"/>
  <c r="C35" i="2" s="1"/>
  <c r="C39" i="2" s="1"/>
  <c r="B40" i="2" s="1"/>
</calcChain>
</file>

<file path=xl/sharedStrings.xml><?xml version="1.0" encoding="utf-8"?>
<sst xmlns="http://schemas.openxmlformats.org/spreadsheetml/2006/main" count="135" uniqueCount="98">
  <si>
    <t>Prueba de viabilidad en proceso candidato a RPA</t>
  </si>
  <si>
    <t xml:space="preserve">Fecha y lugar </t>
  </si>
  <si>
    <t>Fecha:</t>
  </si>
  <si>
    <t>Edificio y oficina:</t>
  </si>
  <si>
    <t>Proceso de estudio</t>
  </si>
  <si>
    <t>Área</t>
  </si>
  <si>
    <t>Equipo</t>
  </si>
  <si>
    <t>Proceso de estudio:</t>
  </si>
  <si>
    <t>Nombre del proceso o actividad objeto de estudio</t>
  </si>
  <si>
    <t>Recursos humanos asignados a esta labor</t>
  </si>
  <si>
    <t>Cantidad de funcionarios involucrados</t>
  </si>
  <si>
    <t>¿Cuántas horas invierte el/ los colaborador (es)  en la ejecución de esta tarea al mes?</t>
  </si>
  <si>
    <t>Puede estimar un promedio de horas semanales y realizar el cálculo mensual</t>
  </si>
  <si>
    <t>Costo de la ejecución por parte del funcional</t>
  </si>
  <si>
    <t>Tomando el valor de la hora laboral del /los colaborador (es)</t>
  </si>
  <si>
    <t>¿Cuántas horas se estima que pueda requerir el desarrollo de la solución?</t>
  </si>
  <si>
    <t>Identificando los hitos principales del proceso a automatizar estime un tiempo probable de desarrollo</t>
  </si>
  <si>
    <t>Seleccione el nivel de impacto que puede tener la tarea si no se ejecuta</t>
  </si>
  <si>
    <t>Financiero</t>
  </si>
  <si>
    <t>Muy bajo</t>
  </si>
  <si>
    <t>Bajo</t>
  </si>
  <si>
    <t>Medio</t>
  </si>
  <si>
    <t>Alto</t>
  </si>
  <si>
    <t>Muy Alto</t>
  </si>
  <si>
    <t>X</t>
  </si>
  <si>
    <t>Impacto en el proceso</t>
  </si>
  <si>
    <t>Seleccione el nivel de error que puede tener la tarea en su ejecución manual</t>
  </si>
  <si>
    <t>Margen de error:</t>
  </si>
  <si>
    <t>Describa la oportunidad mejora en el proceso:</t>
  </si>
  <si>
    <t>¿Describa cual es el beneficio ofrecido si se realiza la automatización del proceso</t>
  </si>
  <si>
    <t>* Herramienta de análisis basada en la metodología de identificación utilizada por UiPath con su herramienta Automation Hub UiPath.</t>
  </si>
  <si>
    <t>Resultados del estudio</t>
  </si>
  <si>
    <t>Criterios de viabilidad</t>
  </si>
  <si>
    <t>Porcentaje de viabilidad</t>
  </si>
  <si>
    <t>Proceso estandarizado</t>
  </si>
  <si>
    <t>Papel vs digital</t>
  </si>
  <si>
    <t>Infomación estructurada</t>
  </si>
  <si>
    <t>Cambios al proceso</t>
  </si>
  <si>
    <t>Ponderación resultados</t>
  </si>
  <si>
    <t>Rango de aceptación</t>
  </si>
  <si>
    <t>Criterios de aceptación</t>
  </si>
  <si>
    <t>&lt;80</t>
  </si>
  <si>
    <t>no es viable</t>
  </si>
  <si>
    <t>&gt;=80</t>
  </si>
  <si>
    <t>si es viable</t>
  </si>
  <si>
    <t xml:space="preserve">Participantes en el análisis </t>
  </si>
  <si>
    <t>Nombre Completo</t>
  </si>
  <si>
    <t>Cargo</t>
  </si>
  <si>
    <t>Área - Dependencia</t>
  </si>
  <si>
    <t>Nombre Completo funcional</t>
  </si>
  <si>
    <t>Observaciones al estudio</t>
  </si>
  <si>
    <t>Con este estudio de viabilidad se puede concluir que el proceso de transformación digital para xxxxxx aplicar la metodología RPA, ya que cumple todas las caracteristicas requeridas por la metodología, y facilita la reducción de xxxxxxx</t>
  </si>
  <si>
    <t>Flujo propuesto para el proceso identificado</t>
  </si>
  <si>
    <t>Criterios de análisis para nivel de creatividad</t>
  </si>
  <si>
    <t>#</t>
  </si>
  <si>
    <t>Concepto</t>
  </si>
  <si>
    <t>Valoración
1 (menor) - 5 (mayor)</t>
  </si>
  <si>
    <t>nivel de creatividad</t>
  </si>
  <si>
    <t>¿Las tareas estan basadas en reglas o creatividad?</t>
  </si>
  <si>
    <t>5 - Contiene muchas reglas</t>
  </si>
  <si>
    <t>4 - Contiene reglas</t>
  </si>
  <si>
    <t>1 - Contiene mucha creatividad</t>
  </si>
  <si>
    <t>2 - Contiene creatividad</t>
  </si>
  <si>
    <t>Valoración</t>
  </si>
  <si>
    <t>3 - Contiene una mezcla entre creatividad y reglas</t>
  </si>
  <si>
    <t>Observaciones a los criterios de creatividad</t>
  </si>
  <si>
    <t>Se puede concluir que el proceso actual contiene reglas definidas en cada una de las acciones que debe llevar a cabo el funcional para completar la tarea.</t>
  </si>
  <si>
    <t>Ver diagnóstico</t>
  </si>
  <si>
    <t>Criterios de análisis para nivel de digitalizacion de la información</t>
  </si>
  <si>
    <t>papel vs digital</t>
  </si>
  <si>
    <t>¿Las entradas de información son de tipo fisico o digital?</t>
  </si>
  <si>
    <t>5 - Contiene mucha documentación digital</t>
  </si>
  <si>
    <t>1 - Contiene mucha documentación fisica</t>
  </si>
  <si>
    <t>2 - Contiene documentación fisica</t>
  </si>
  <si>
    <t>3 - Contiene una mezcla entre documentos fisicos y digitales</t>
  </si>
  <si>
    <t>4 - Contiene documentación digital</t>
  </si>
  <si>
    <t>Observaciones a los criterios de papel vs digitalización</t>
  </si>
  <si>
    <t>se puede concluir que en el proceso la información se captura de forma digital con reportes proporcionados desde una página web almacenado como imagen JPG.</t>
  </si>
  <si>
    <t>Criterios de análisis para nivel de estructuración de la información</t>
  </si>
  <si>
    <t>Información estructurada</t>
  </si>
  <si>
    <t>¿La información se obtiene de forma dispersa o por el contrario se obtiene con un fuente de datos estructurada?</t>
  </si>
  <si>
    <t>5 - Contiene mucha información estructurada</t>
  </si>
  <si>
    <t>4 - Contiene información estructurada</t>
  </si>
  <si>
    <t>1 - Contiene muchos datos dispersos</t>
  </si>
  <si>
    <t>2 - Contiene datos dispersos</t>
  </si>
  <si>
    <t>3 - Contiene una mezcla entre datos dispersos y consolidados</t>
  </si>
  <si>
    <t>Observaciones a los criterios de información estructurada</t>
  </si>
  <si>
    <t>Se puede concluir en la ejecución del proceso la información se encuentra organizada en una misma ruta de carga lo cual facilita la identificación de los archivos.</t>
  </si>
  <si>
    <t>Criterios de análisis para nivel de cambios en el proceso</t>
  </si>
  <si>
    <t>Cambios  en los próximos 6 meses</t>
  </si>
  <si>
    <t>¿El proceso presentado tiene proyección de cambio en los próximos 6 meses?</t>
  </si>
  <si>
    <t>5 - Contiene muchos procesos estandarizados</t>
  </si>
  <si>
    <t>1 - Contiene mucha proyección de cambios</t>
  </si>
  <si>
    <t>2 - Contiene proyección de cambios</t>
  </si>
  <si>
    <t>3 - Contiene una mezcla entre planes de cambios y procesos estandarizados</t>
  </si>
  <si>
    <t>4 - Contiene procesos estandarizados</t>
  </si>
  <si>
    <t>Observaciones a los criterios de cambio</t>
  </si>
  <si>
    <t>se puede identificar que el proceso no presenta proyectos de mejora o cambios, por lo tanto como está definido en la actualidad es un proceso estable.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</si>
</sst>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40A]\ #,##0"/>
    <numFmt numFmtId="165" formatCode="[$$-240A]\ #,##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b/>
      <i/>
      <u/>
      <sz val="10"/>
      <name val="Calibri"/>
      <family val="2"/>
    </font>
    <font>
      <b/>
      <sz val="10"/>
      <color theme="1"/>
      <name val="Aptos Narrow"/>
      <family val="2"/>
      <scheme val="minor"/>
    </font>
    <font>
      <b/>
      <sz val="11"/>
      <color rgb="FFFF3300"/>
      <name val="Aptos Narrow"/>
      <family val="2"/>
      <scheme val="minor"/>
    </font>
    <font>
      <sz val="11"/>
      <color rgb="FF000000"/>
      <name val="Calibri"/>
      <family val="2"/>
    </font>
    <font>
      <u/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u/>
      <sz val="14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</fills>
  <borders count="9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44546A"/>
      </left>
      <right/>
      <top style="medium">
        <color rgb="FF44546A"/>
      </top>
      <bottom style="medium">
        <color rgb="FF44546A"/>
      </bottom>
      <diagonal/>
    </border>
    <border>
      <left/>
      <right/>
      <top style="medium">
        <color rgb="FF44546A"/>
      </top>
      <bottom style="medium">
        <color rgb="FF44546A"/>
      </bottom>
      <diagonal/>
    </border>
    <border>
      <left/>
      <right style="medium">
        <color rgb="FF44546A"/>
      </right>
      <top style="medium">
        <color rgb="FF44546A"/>
      </top>
      <bottom style="medium">
        <color rgb="FF44546A"/>
      </bottom>
      <diagonal/>
    </border>
    <border>
      <left style="medium">
        <color rgb="FF44546A"/>
      </left>
      <right style="thin">
        <color rgb="FF44546A"/>
      </right>
      <top/>
      <bottom style="thin">
        <color rgb="FF44546A"/>
      </bottom>
      <diagonal/>
    </border>
    <border>
      <left style="thin">
        <color rgb="FF44546A"/>
      </left>
      <right/>
      <top/>
      <bottom style="thin">
        <color rgb="FF44546A"/>
      </bottom>
      <diagonal/>
    </border>
    <border>
      <left/>
      <right/>
      <top/>
      <bottom style="thin">
        <color rgb="FF44546A"/>
      </bottom>
      <diagonal/>
    </border>
    <border>
      <left/>
      <right style="medium">
        <color rgb="FF44546A"/>
      </right>
      <top/>
      <bottom style="thin">
        <color rgb="FF44546A"/>
      </bottom>
      <diagonal/>
    </border>
    <border>
      <left style="medium">
        <color rgb="FF44546A"/>
      </left>
      <right style="thin">
        <color rgb="FF44546A"/>
      </right>
      <top style="thin">
        <color rgb="FF44546A"/>
      </top>
      <bottom style="medium">
        <color rgb="FF44546A"/>
      </bottom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medium">
        <color rgb="FF44546A"/>
      </bottom>
      <diagonal/>
    </border>
    <border>
      <left style="thin">
        <color rgb="FF44546A"/>
      </left>
      <right/>
      <top style="thin">
        <color rgb="FF44546A"/>
      </top>
      <bottom style="medium">
        <color rgb="FF44546A"/>
      </bottom>
      <diagonal/>
    </border>
    <border>
      <left style="thin">
        <color rgb="FF44546A"/>
      </left>
      <right style="medium">
        <color rgb="FF44546A"/>
      </right>
      <top style="thin">
        <color rgb="FF44546A"/>
      </top>
      <bottom style="medium">
        <color rgb="FF44546A"/>
      </bottom>
      <diagonal/>
    </border>
    <border>
      <left style="medium">
        <color rgb="FF000000"/>
      </left>
      <right style="thin">
        <color rgb="FF44546A"/>
      </right>
      <top style="medium">
        <color rgb="FF000000"/>
      </top>
      <bottom/>
      <diagonal/>
    </border>
    <border>
      <left style="thin">
        <color rgb="FF44546A"/>
      </left>
      <right style="thin">
        <color rgb="FF44546A"/>
      </right>
      <top style="medium">
        <color rgb="FF000000"/>
      </top>
      <bottom/>
      <diagonal/>
    </border>
    <border>
      <left style="thin">
        <color rgb="FF44546A"/>
      </left>
      <right/>
      <top style="medium">
        <color rgb="FF000000"/>
      </top>
      <bottom/>
      <diagonal/>
    </border>
    <border>
      <left style="thin">
        <color rgb="FF44546A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44546A"/>
      </right>
      <top style="medium">
        <color indexed="64"/>
      </top>
      <bottom style="medium">
        <color rgb="FF44546A"/>
      </bottom>
      <diagonal/>
    </border>
    <border>
      <left style="thin">
        <color rgb="FF44546A"/>
      </left>
      <right style="thin">
        <color rgb="FF44546A"/>
      </right>
      <top style="medium">
        <color indexed="64"/>
      </top>
      <bottom style="medium">
        <color rgb="FF44546A"/>
      </bottom>
      <diagonal/>
    </border>
    <border>
      <left style="thin">
        <color rgb="FF44546A"/>
      </left>
      <right/>
      <top style="medium">
        <color indexed="64"/>
      </top>
      <bottom style="medium">
        <color rgb="FF44546A"/>
      </bottom>
      <diagonal/>
    </border>
    <border>
      <left style="thin">
        <color rgb="FF44546A"/>
      </left>
      <right style="medium">
        <color indexed="64"/>
      </right>
      <top style="medium">
        <color indexed="64"/>
      </top>
      <bottom style="medium">
        <color rgb="FF44546A"/>
      </bottom>
      <diagonal/>
    </border>
    <border>
      <left style="medium">
        <color indexed="64"/>
      </left>
      <right style="thin">
        <color rgb="FF44546A"/>
      </right>
      <top/>
      <bottom style="thin">
        <color rgb="FF44546A"/>
      </bottom>
      <diagonal/>
    </border>
    <border>
      <left style="thin">
        <color rgb="FF44546A"/>
      </left>
      <right style="thin">
        <color rgb="FF44546A"/>
      </right>
      <top/>
      <bottom style="thin">
        <color rgb="FF44546A"/>
      </bottom>
      <diagonal/>
    </border>
    <border>
      <left style="thin">
        <color rgb="FF44546A"/>
      </left>
      <right style="medium">
        <color indexed="64"/>
      </right>
      <top/>
      <bottom style="thin">
        <color rgb="FF44546A"/>
      </bottom>
      <diagonal/>
    </border>
    <border>
      <left style="medium">
        <color indexed="64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 style="thin">
        <color rgb="FF44546A"/>
      </left>
      <right/>
      <top style="thin">
        <color rgb="FF44546A"/>
      </top>
      <bottom style="thin">
        <color rgb="FF44546A"/>
      </bottom>
      <diagonal/>
    </border>
    <border>
      <left style="thin">
        <color rgb="FF44546A"/>
      </left>
      <right style="medium">
        <color indexed="64"/>
      </right>
      <top style="thin">
        <color rgb="FF44546A"/>
      </top>
      <bottom style="thin">
        <color rgb="FF44546A"/>
      </bottom>
      <diagonal/>
    </border>
    <border>
      <left style="medium">
        <color indexed="64"/>
      </left>
      <right style="thin">
        <color rgb="FF44546A"/>
      </right>
      <top style="thin">
        <color rgb="FF44546A"/>
      </top>
      <bottom style="medium">
        <color indexed="64"/>
      </bottom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medium">
        <color indexed="64"/>
      </bottom>
      <diagonal/>
    </border>
    <border>
      <left style="thin">
        <color rgb="FF44546A"/>
      </left>
      <right/>
      <top style="thin">
        <color rgb="FF44546A"/>
      </top>
      <bottom style="medium">
        <color indexed="64"/>
      </bottom>
      <diagonal/>
    </border>
    <border>
      <left style="thin">
        <color rgb="FF44546A"/>
      </left>
      <right style="medium">
        <color indexed="64"/>
      </right>
      <top style="thin">
        <color rgb="FF44546A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546A"/>
      </left>
      <right/>
      <top style="medium">
        <color rgb="FF44546A"/>
      </top>
      <bottom style="thin">
        <color rgb="FF44546A"/>
      </bottom>
      <diagonal/>
    </border>
    <border>
      <left/>
      <right/>
      <top style="medium">
        <color rgb="FF44546A"/>
      </top>
      <bottom style="thin">
        <color rgb="FF44546A"/>
      </bottom>
      <diagonal/>
    </border>
    <border>
      <left/>
      <right style="medium">
        <color rgb="FF44546A"/>
      </right>
      <top style="medium">
        <color rgb="FF44546A"/>
      </top>
      <bottom style="thin">
        <color rgb="FF44546A"/>
      </bottom>
      <diagonal/>
    </border>
    <border>
      <left style="medium">
        <color rgb="FF44546A"/>
      </left>
      <right/>
      <top style="thin">
        <color rgb="FF44546A"/>
      </top>
      <bottom/>
      <diagonal/>
    </border>
    <border>
      <left/>
      <right/>
      <top style="thin">
        <color rgb="FF44546A"/>
      </top>
      <bottom/>
      <diagonal/>
    </border>
    <border>
      <left/>
      <right style="medium">
        <color rgb="FF44546A"/>
      </right>
      <top style="thin">
        <color rgb="FF44546A"/>
      </top>
      <bottom/>
      <diagonal/>
    </border>
    <border>
      <left style="medium">
        <color rgb="FF44546A"/>
      </left>
      <right/>
      <top/>
      <bottom/>
      <diagonal/>
    </border>
    <border>
      <left/>
      <right style="medium">
        <color rgb="FF44546A"/>
      </right>
      <top/>
      <bottom/>
      <diagonal/>
    </border>
    <border>
      <left style="medium">
        <color rgb="FF44546A"/>
      </left>
      <right/>
      <top/>
      <bottom style="medium">
        <color rgb="FF44546A"/>
      </bottom>
      <diagonal/>
    </border>
    <border>
      <left/>
      <right/>
      <top/>
      <bottom style="medium">
        <color rgb="FF44546A"/>
      </bottom>
      <diagonal/>
    </border>
    <border>
      <left/>
      <right style="medium">
        <color rgb="FF44546A"/>
      </right>
      <top/>
      <bottom style="medium">
        <color rgb="FF44546A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11" xfId="0" applyBorder="1"/>
    <xf numFmtId="0" fontId="0" fillId="0" borderId="19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2" xfId="0" applyBorder="1"/>
    <xf numFmtId="0" fontId="0" fillId="0" borderId="22" xfId="0" applyBorder="1" applyAlignment="1">
      <alignment vertical="center" wrapText="1"/>
    </xf>
    <xf numFmtId="165" fontId="0" fillId="4" borderId="27" xfId="0" applyNumberFormat="1" applyFill="1" applyBorder="1" applyAlignment="1">
      <alignment horizontal="center" vertical="center" wrapText="1"/>
    </xf>
    <xf numFmtId="165" fontId="0" fillId="5" borderId="27" xfId="0" applyNumberFormat="1" applyFill="1" applyBorder="1" applyAlignment="1">
      <alignment horizontal="center" vertical="center"/>
    </xf>
    <xf numFmtId="165" fontId="0" fillId="6" borderId="27" xfId="0" applyNumberFormat="1" applyFill="1" applyBorder="1" applyAlignment="1">
      <alignment horizontal="center" vertical="center"/>
    </xf>
    <xf numFmtId="165" fontId="0" fillId="7" borderId="27" xfId="0" applyNumberFormat="1" applyFill="1" applyBorder="1" applyAlignment="1">
      <alignment horizontal="center" vertical="center"/>
    </xf>
    <xf numFmtId="165" fontId="0" fillId="8" borderId="28" xfId="0" applyNumberFormat="1" applyFill="1" applyBorder="1" applyAlignment="1">
      <alignment horizontal="center" vertical="center" wrapText="1"/>
    </xf>
    <xf numFmtId="165" fontId="0" fillId="0" borderId="20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4" fillId="0" borderId="39" xfId="2" applyBorder="1"/>
    <xf numFmtId="0" fontId="4" fillId="0" borderId="39" xfId="2" applyFill="1" applyBorder="1"/>
    <xf numFmtId="0" fontId="3" fillId="0" borderId="39" xfId="0" applyFont="1" applyBorder="1"/>
    <xf numFmtId="0" fontId="9" fillId="9" borderId="47" xfId="0" applyFont="1" applyFill="1" applyBorder="1" applyAlignment="1">
      <alignment horizontal="center" vertical="center" wrapText="1"/>
    </xf>
    <xf numFmtId="0" fontId="9" fillId="9" borderId="49" xfId="0" applyFont="1" applyFill="1" applyBorder="1" applyAlignment="1">
      <alignment horizontal="left" vertical="center" wrapText="1"/>
    </xf>
    <xf numFmtId="165" fontId="9" fillId="10" borderId="47" xfId="0" applyNumberFormat="1" applyFont="1" applyFill="1" applyBorder="1" applyAlignment="1">
      <alignment horizontal="center" vertical="center" wrapText="1"/>
    </xf>
    <xf numFmtId="165" fontId="9" fillId="10" borderId="48" xfId="0" applyNumberFormat="1" applyFont="1" applyFill="1" applyBorder="1" applyAlignment="1">
      <alignment horizontal="left" vertical="center" wrapText="1"/>
    </xf>
    <xf numFmtId="0" fontId="3" fillId="2" borderId="54" xfId="0" applyFont="1" applyFill="1" applyBorder="1"/>
    <xf numFmtId="0" fontId="10" fillId="0" borderId="54" xfId="0" applyFont="1" applyBorder="1" applyAlignment="1">
      <alignment vertical="top"/>
    </xf>
    <xf numFmtId="0" fontId="0" fillId="0" borderId="66" xfId="0" applyBorder="1"/>
    <xf numFmtId="0" fontId="0" fillId="0" borderId="67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25" xfId="0" applyBorder="1"/>
    <xf numFmtId="0" fontId="0" fillId="0" borderId="68" xfId="0" applyBorder="1"/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0" fillId="11" borderId="72" xfId="0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 applyAlignment="1">
      <alignment wrapText="1"/>
    </xf>
    <xf numFmtId="0" fontId="0" fillId="0" borderId="75" xfId="0" applyBorder="1" applyAlignment="1">
      <alignment vertical="center" wrapText="1"/>
    </xf>
    <xf numFmtId="0" fontId="0" fillId="0" borderId="79" xfId="0" applyBorder="1" applyAlignment="1">
      <alignment vertical="center" wrapText="1"/>
    </xf>
    <xf numFmtId="0" fontId="12" fillId="13" borderId="80" xfId="2" applyFont="1" applyFill="1" applyBorder="1" applyAlignment="1">
      <alignment horizontal="center"/>
    </xf>
    <xf numFmtId="0" fontId="0" fillId="0" borderId="81" xfId="0" applyBorder="1"/>
    <xf numFmtId="0" fontId="0" fillId="11" borderId="82" xfId="0" applyFill="1" applyBorder="1"/>
    <xf numFmtId="0" fontId="0" fillId="0" borderId="82" xfId="0" applyBorder="1"/>
    <xf numFmtId="0" fontId="13" fillId="0" borderId="0" xfId="0" applyFont="1"/>
    <xf numFmtId="0" fontId="13" fillId="0" borderId="0" xfId="0" applyFont="1" applyAlignment="1">
      <alignment wrapText="1"/>
    </xf>
    <xf numFmtId="0" fontId="0" fillId="0" borderId="83" xfId="0" applyBorder="1"/>
    <xf numFmtId="0" fontId="13" fillId="0" borderId="84" xfId="0" applyFont="1" applyBorder="1"/>
    <xf numFmtId="0" fontId="13" fillId="0" borderId="85" xfId="0" applyFont="1" applyBorder="1"/>
    <xf numFmtId="0" fontId="0" fillId="0" borderId="86" xfId="0" applyBorder="1"/>
    <xf numFmtId="0" fontId="13" fillId="0" borderId="87" xfId="0" applyFont="1" applyBorder="1"/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13" fillId="11" borderId="82" xfId="0" applyFont="1" applyFill="1" applyBorder="1" applyAlignment="1">
      <alignment wrapText="1"/>
    </xf>
    <xf numFmtId="0" fontId="13" fillId="0" borderId="19" xfId="0" applyFont="1" applyBorder="1"/>
    <xf numFmtId="0" fontId="13" fillId="0" borderId="20" xfId="0" applyFont="1" applyBorder="1" applyAlignment="1">
      <alignment wrapText="1"/>
    </xf>
    <xf numFmtId="0" fontId="13" fillId="0" borderId="82" xfId="0" applyFont="1" applyBorder="1" applyAlignment="1">
      <alignment wrapText="1"/>
    </xf>
    <xf numFmtId="0" fontId="13" fillId="0" borderId="0" xfId="0" applyFont="1" applyAlignment="1">
      <alignment horizontal="center"/>
    </xf>
    <xf numFmtId="0" fontId="15" fillId="13" borderId="80" xfId="2" applyFont="1" applyFill="1" applyBorder="1" applyAlignment="1">
      <alignment horizontal="center"/>
    </xf>
    <xf numFmtId="0" fontId="0" fillId="0" borderId="88" xfId="0" applyBorder="1"/>
    <xf numFmtId="0" fontId="13" fillId="0" borderId="89" xfId="0" applyFont="1" applyBorder="1"/>
    <xf numFmtId="0" fontId="13" fillId="0" borderId="90" xfId="0" applyFont="1" applyBorder="1"/>
    <xf numFmtId="0" fontId="0" fillId="0" borderId="0" xfId="0" applyAlignment="1">
      <alignment wrapText="1"/>
    </xf>
    <xf numFmtId="0" fontId="0" fillId="11" borderId="82" xfId="0" applyFill="1" applyBorder="1" applyAlignment="1">
      <alignment wrapText="1"/>
    </xf>
    <xf numFmtId="0" fontId="0" fillId="0" borderId="20" xfId="0" applyBorder="1" applyAlignment="1">
      <alignment vertical="center" wrapText="1"/>
    </xf>
    <xf numFmtId="0" fontId="0" fillId="0" borderId="82" xfId="0" applyBorder="1" applyAlignment="1">
      <alignment wrapText="1"/>
    </xf>
    <xf numFmtId="0" fontId="11" fillId="0" borderId="54" xfId="0" applyFont="1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3" fillId="2" borderId="55" xfId="0" applyFont="1" applyFill="1" applyBorder="1" applyAlignment="1">
      <alignment horizontal="center"/>
    </xf>
    <xf numFmtId="0" fontId="3" fillId="2" borderId="56" xfId="0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/>
    </xf>
    <xf numFmtId="0" fontId="2" fillId="0" borderId="58" xfId="0" applyFont="1" applyBorder="1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2" xfId="0" applyBorder="1" applyAlignment="1">
      <alignment horizontal="left" vertical="top" wrapText="1"/>
    </xf>
    <xf numFmtId="0" fontId="0" fillId="0" borderId="63" xfId="0" applyBorder="1" applyAlignment="1">
      <alignment horizontal="left" vertical="top" wrapText="1"/>
    </xf>
    <xf numFmtId="0" fontId="0" fillId="0" borderId="64" xfId="0" applyBorder="1" applyAlignment="1">
      <alignment horizontal="left" vertical="top" wrapText="1"/>
    </xf>
    <xf numFmtId="0" fontId="0" fillId="0" borderId="65" xfId="0" applyBorder="1" applyAlignment="1">
      <alignment horizontal="left" vertical="top" wrapText="1"/>
    </xf>
    <xf numFmtId="0" fontId="3" fillId="2" borderId="54" xfId="0" applyFont="1" applyFill="1" applyBorder="1" applyAlignment="1">
      <alignment horizontal="center"/>
    </xf>
    <xf numFmtId="0" fontId="0" fillId="0" borderId="40" xfId="1" applyNumberFormat="1" applyFont="1" applyBorder="1" applyAlignment="1">
      <alignment horizontal="center"/>
    </xf>
    <xf numFmtId="0" fontId="0" fillId="0" borderId="41" xfId="1" applyNumberFormat="1" applyFont="1" applyBorder="1" applyAlignment="1">
      <alignment horizontal="center"/>
    </xf>
    <xf numFmtId="0" fontId="0" fillId="0" borderId="42" xfId="1" applyNumberFormat="1" applyFont="1" applyBorder="1" applyAlignment="1">
      <alignment horizontal="center"/>
    </xf>
    <xf numFmtId="9" fontId="3" fillId="0" borderId="40" xfId="1" applyFont="1" applyBorder="1" applyAlignment="1">
      <alignment horizontal="center"/>
    </xf>
    <xf numFmtId="9" fontId="3" fillId="0" borderId="41" xfId="1" applyFont="1" applyBorder="1" applyAlignment="1">
      <alignment horizontal="center"/>
    </xf>
    <xf numFmtId="9" fontId="3" fillId="0" borderId="42" xfId="1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9" fillId="2" borderId="47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/>
    </xf>
    <xf numFmtId="0" fontId="3" fillId="2" borderId="51" xfId="0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0" fontId="3" fillId="2" borderId="53" xfId="0" applyFont="1" applyFill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5" fontId="2" fillId="0" borderId="29" xfId="0" applyNumberFormat="1" applyFont="1" applyBorder="1" applyAlignment="1">
      <alignment horizontal="left" vertical="center" wrapText="1"/>
    </xf>
    <xf numFmtId="165" fontId="0" fillId="0" borderId="30" xfId="0" applyNumberFormat="1" applyBorder="1" applyAlignment="1">
      <alignment horizontal="left" vertical="center" wrapText="1"/>
    </xf>
    <xf numFmtId="165" fontId="0" fillId="0" borderId="31" xfId="0" applyNumberFormat="1" applyBorder="1" applyAlignment="1">
      <alignment horizontal="left" vertic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wrapText="1"/>
    </xf>
    <xf numFmtId="164" fontId="2" fillId="0" borderId="24" xfId="0" applyNumberFormat="1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5" fontId="6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12" borderId="58" xfId="0" applyFont="1" applyFill="1" applyBorder="1" applyAlignment="1">
      <alignment horizontal="left" vertical="top" wrapText="1"/>
    </xf>
    <xf numFmtId="0" fontId="0" fillId="12" borderId="59" xfId="0" applyFill="1" applyBorder="1" applyAlignment="1">
      <alignment horizontal="left" vertical="top" wrapText="1"/>
    </xf>
    <xf numFmtId="0" fontId="0" fillId="12" borderId="60" xfId="0" applyFill="1" applyBorder="1" applyAlignment="1">
      <alignment horizontal="left" vertical="top" wrapText="1"/>
    </xf>
    <xf numFmtId="0" fontId="0" fillId="12" borderId="63" xfId="0" applyFill="1" applyBorder="1" applyAlignment="1">
      <alignment horizontal="left" vertical="top" wrapText="1"/>
    </xf>
    <xf numFmtId="0" fontId="0" fillId="12" borderId="64" xfId="0" applyFill="1" applyBorder="1" applyAlignment="1">
      <alignment horizontal="left" vertical="top" wrapText="1"/>
    </xf>
    <xf numFmtId="0" fontId="0" fillId="12" borderId="65" xfId="0" applyFill="1" applyBorder="1" applyAlignment="1">
      <alignment horizontal="left" vertical="top" wrapText="1"/>
    </xf>
    <xf numFmtId="0" fontId="3" fillId="2" borderId="69" xfId="0" applyFont="1" applyFill="1" applyBorder="1" applyAlignment="1">
      <alignment horizontal="center"/>
    </xf>
    <xf numFmtId="0" fontId="3" fillId="2" borderId="70" xfId="0" applyFont="1" applyFill="1" applyBorder="1" applyAlignment="1">
      <alignment horizontal="center"/>
    </xf>
    <xf numFmtId="0" fontId="3" fillId="2" borderId="7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0" fillId="0" borderId="73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3" fillId="0" borderId="76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77" xfId="1" applyNumberFormat="1" applyFont="1" applyBorder="1" applyAlignment="1">
      <alignment horizontal="center" vertical="center"/>
    </xf>
    <xf numFmtId="0" fontId="3" fillId="0" borderId="78" xfId="1" applyNumberFormat="1" applyFont="1" applyBorder="1" applyAlignment="1">
      <alignment horizontal="center" vertical="center"/>
    </xf>
    <xf numFmtId="0" fontId="2" fillId="12" borderId="59" xfId="0" applyFont="1" applyFill="1" applyBorder="1" applyAlignment="1">
      <alignment horizontal="left" vertical="top" wrapText="1"/>
    </xf>
    <xf numFmtId="0" fontId="2" fillId="12" borderId="60" xfId="0" applyFont="1" applyFill="1" applyBorder="1" applyAlignment="1">
      <alignment horizontal="left" vertical="top" wrapText="1"/>
    </xf>
    <xf numFmtId="0" fontId="2" fillId="12" borderId="63" xfId="0" applyFont="1" applyFill="1" applyBorder="1" applyAlignment="1">
      <alignment horizontal="left" vertical="top" wrapText="1"/>
    </xf>
    <xf numFmtId="0" fontId="2" fillId="12" borderId="64" xfId="0" applyFont="1" applyFill="1" applyBorder="1" applyAlignment="1">
      <alignment horizontal="left" vertical="top" wrapText="1"/>
    </xf>
    <xf numFmtId="0" fontId="2" fillId="12" borderId="65" xfId="0" applyFont="1" applyFill="1" applyBorder="1" applyAlignment="1">
      <alignment horizontal="left" vertical="top" wrapText="1"/>
    </xf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77" xfId="1" applyNumberFormat="1" applyFont="1" applyBorder="1" applyAlignment="1">
      <alignment horizontal="center"/>
    </xf>
    <xf numFmtId="0" fontId="3" fillId="0" borderId="78" xfId="1" applyNumberFormat="1" applyFont="1" applyBorder="1" applyAlignment="1">
      <alignment horizontal="center"/>
    </xf>
    <xf numFmtId="0" fontId="14" fillId="12" borderId="58" xfId="0" applyFont="1" applyFill="1" applyBorder="1" applyAlignment="1">
      <alignment horizontal="left" vertical="top" wrapText="1"/>
    </xf>
    <xf numFmtId="0" fontId="14" fillId="12" borderId="59" xfId="0" applyFont="1" applyFill="1" applyBorder="1" applyAlignment="1">
      <alignment horizontal="left" vertical="top" wrapText="1"/>
    </xf>
    <xf numFmtId="0" fontId="14" fillId="12" borderId="60" xfId="0" applyFont="1" applyFill="1" applyBorder="1" applyAlignment="1">
      <alignment horizontal="left" vertical="top" wrapText="1"/>
    </xf>
    <xf numFmtId="0" fontId="14" fillId="12" borderId="63" xfId="0" applyFont="1" applyFill="1" applyBorder="1" applyAlignment="1">
      <alignment horizontal="left" vertical="top" wrapText="1"/>
    </xf>
    <xf numFmtId="0" fontId="14" fillId="12" borderId="64" xfId="0" applyFont="1" applyFill="1" applyBorder="1" applyAlignment="1">
      <alignment horizontal="left" vertical="top" wrapText="1"/>
    </xf>
    <xf numFmtId="0" fontId="14" fillId="12" borderId="65" xfId="0" applyFont="1" applyFill="1" applyBorder="1" applyAlignment="1">
      <alignment horizontal="left" vertical="top" wrapText="1"/>
    </xf>
    <xf numFmtId="0" fontId="5" fillId="2" borderId="69" xfId="0" applyFont="1" applyFill="1" applyBorder="1" applyAlignment="1">
      <alignment horizontal="center"/>
    </xf>
    <xf numFmtId="0" fontId="5" fillId="2" borderId="70" xfId="0" applyFont="1" applyFill="1" applyBorder="1" applyAlignment="1">
      <alignment horizontal="center"/>
    </xf>
    <xf numFmtId="0" fontId="5" fillId="2" borderId="71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 wrapText="1"/>
    </xf>
    <xf numFmtId="0" fontId="5" fillId="2" borderId="21" xfId="0" applyFont="1" applyFill="1" applyBorder="1" applyAlignment="1">
      <alignment horizontal="center" wrapText="1"/>
    </xf>
    <xf numFmtId="0" fontId="13" fillId="0" borderId="73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/>
    </xf>
    <xf numFmtId="0" fontId="5" fillId="0" borderId="77" xfId="0" applyFont="1" applyBorder="1" applyAlignment="1">
      <alignment horizontal="center"/>
    </xf>
    <xf numFmtId="0" fontId="5" fillId="0" borderId="77" xfId="1" applyNumberFormat="1" applyFont="1" applyBorder="1" applyAlignment="1">
      <alignment horizontal="center"/>
    </xf>
    <xf numFmtId="0" fontId="5" fillId="0" borderId="78" xfId="1" applyNumberFormat="1" applyFont="1" applyBorder="1" applyAlignment="1">
      <alignment horizontal="center"/>
    </xf>
    <xf numFmtId="0" fontId="5" fillId="2" borderId="55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</cellXfs>
  <cellStyles count="3">
    <cellStyle name="Hipervínculo" xfId="2" builtinId="8"/>
    <cellStyle name="Normal" xfId="0" builtinId="0"/>
    <cellStyle name="Porcentaje" xfId="1" builtinId="5"/>
  </cellStyles>
  <dxfs count="2">
    <dxf>
      <font>
        <b/>
        <i/>
        <color auto="1"/>
      </font>
      <fill>
        <patternFill>
          <bgColor theme="7" tint="0.39994506668294322"/>
        </patternFill>
      </fill>
    </dxf>
    <dxf>
      <font>
        <b/>
        <i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47625</xdr:rowOff>
    </xdr:from>
    <xdr:to>
      <xdr:col>1</xdr:col>
      <xdr:colOff>782955</xdr:colOff>
      <xdr:row>5</xdr:row>
      <xdr:rowOff>133692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166ABB-DD24-47C2-90D7-BEC156F57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50800"/>
          <a:ext cx="973455" cy="1038567"/>
        </a:xfrm>
        <a:prstGeom prst="rect">
          <a:avLst/>
        </a:prstGeom>
      </xdr:spPr>
    </xdr:pic>
    <xdr:clientData/>
  </xdr:twoCellAnchor>
  <xdr:twoCellAnchor editAs="oneCell">
    <xdr:from>
      <xdr:col>1</xdr:col>
      <xdr:colOff>1794363</xdr:colOff>
      <xdr:row>0</xdr:row>
      <xdr:rowOff>92319</xdr:rowOff>
    </xdr:from>
    <xdr:to>
      <xdr:col>6</xdr:col>
      <xdr:colOff>531946</xdr:colOff>
      <xdr:row>5</xdr:row>
      <xdr:rowOff>92026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947CC7-EFDD-445F-B1A7-8B1DC4B89B58}"/>
            </a:ext>
            <a:ext uri="{147F2762-F138-4A5C-976F-8EAC2B608ADB}">
              <a16:predDERef xmlns:a16="http://schemas.microsoft.com/office/drawing/2014/main" pred="{7E5CDEA7-6A4F-FD4B-3500-4E8E0D30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0113" y="92319"/>
          <a:ext cx="4385908" cy="9522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524771</xdr:colOff>
      <xdr:row>3</xdr:row>
      <xdr:rowOff>72467</xdr:rowOff>
    </xdr:from>
    <xdr:to>
      <xdr:col>6</xdr:col>
      <xdr:colOff>397540</xdr:colOff>
      <xdr:row>38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A68F7B-3BA5-47D8-B2EB-340512763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946" y="643967"/>
          <a:ext cx="4787669" cy="65759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6B2D-1A20-407D-97D1-16BA2678988C}">
  <sheetPr>
    <tabColor rgb="FFA9D08E"/>
    <pageSetUpPr fitToPage="1"/>
  </sheetPr>
  <dimension ref="A1:H117"/>
  <sheetViews>
    <sheetView showGridLines="0" tabSelected="1" showWhiteSpace="0" view="pageBreakPreview" topLeftCell="A17" zoomScale="115" zoomScaleNormal="115" zoomScaleSheetLayoutView="115" zoomScalePageLayoutView="70" workbookViewId="0">
      <selection activeCell="F61" sqref="F61"/>
    </sheetView>
  </sheetViews>
  <sheetFormatPr baseColWidth="10" defaultColWidth="11.42578125" defaultRowHeight="15" x14ac:dyDescent="0.25"/>
  <cols>
    <col min="1" max="1" width="4.28515625" customWidth="1"/>
    <col min="2" max="2" width="37.85546875" customWidth="1"/>
    <col min="3" max="6" width="11.7109375" customWidth="1"/>
    <col min="7" max="7" width="25.28515625" customWidth="1"/>
    <col min="8" max="8" width="5.42578125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2"/>
    </row>
    <row r="2" spans="1:8" x14ac:dyDescent="0.25">
      <c r="H2" s="3"/>
    </row>
    <row r="3" spans="1:8" x14ac:dyDescent="0.25">
      <c r="H3" s="3"/>
    </row>
    <row r="4" spans="1:8" x14ac:dyDescent="0.25">
      <c r="H4" s="3"/>
    </row>
    <row r="5" spans="1:8" x14ac:dyDescent="0.25">
      <c r="H5" s="3"/>
    </row>
    <row r="6" spans="1:8" x14ac:dyDescent="0.25">
      <c r="H6" s="3"/>
    </row>
    <row r="7" spans="1:8" ht="15.75" thickBot="1" x14ac:dyDescent="0.3">
      <c r="H7" s="3"/>
    </row>
    <row r="8" spans="1:8" ht="19.5" thickBot="1" x14ac:dyDescent="0.35">
      <c r="B8" s="123" t="s">
        <v>0</v>
      </c>
      <c r="C8" s="124"/>
      <c r="D8" s="124"/>
      <c r="E8" s="124"/>
      <c r="F8" s="124"/>
      <c r="G8" s="125"/>
      <c r="H8" s="3"/>
    </row>
    <row r="9" spans="1:8" ht="10.9" customHeight="1" thickBot="1" x14ac:dyDescent="0.3">
      <c r="H9" s="3"/>
    </row>
    <row r="10" spans="1:8" ht="15.75" thickBot="1" x14ac:dyDescent="0.3">
      <c r="B10" s="126" t="s">
        <v>1</v>
      </c>
      <c r="C10" s="127"/>
      <c r="D10" s="127"/>
      <c r="E10" s="127"/>
      <c r="F10" s="127"/>
      <c r="G10" s="128"/>
      <c r="H10" s="3"/>
    </row>
    <row r="11" spans="1:8" x14ac:dyDescent="0.25">
      <c r="B11" s="4" t="s">
        <v>2</v>
      </c>
      <c r="C11" s="129"/>
      <c r="D11" s="130"/>
      <c r="E11" s="130"/>
      <c r="F11" s="130"/>
      <c r="G11" s="131"/>
      <c r="H11" s="3"/>
    </row>
    <row r="12" spans="1:8" ht="15.75" thickBot="1" x14ac:dyDescent="0.3">
      <c r="B12" s="5" t="s">
        <v>3</v>
      </c>
      <c r="C12" s="132"/>
      <c r="D12" s="133"/>
      <c r="E12" s="133"/>
      <c r="F12" s="133"/>
      <c r="G12" s="134"/>
      <c r="H12" s="3"/>
    </row>
    <row r="13" spans="1:8" ht="15.75" thickBot="1" x14ac:dyDescent="0.3">
      <c r="H13" s="3"/>
    </row>
    <row r="14" spans="1:8" x14ac:dyDescent="0.25">
      <c r="B14" s="135" t="s">
        <v>4</v>
      </c>
      <c r="C14" s="136"/>
      <c r="D14" s="137"/>
      <c r="E14" s="137"/>
      <c r="F14" s="137"/>
      <c r="G14" s="138"/>
      <c r="H14" s="3"/>
    </row>
    <row r="15" spans="1:8" ht="15.75" thickBot="1" x14ac:dyDescent="0.3">
      <c r="B15" s="6" t="s">
        <v>5</v>
      </c>
      <c r="C15" s="113"/>
      <c r="D15" s="113"/>
      <c r="E15" s="113"/>
      <c r="F15" s="113"/>
      <c r="G15" s="114"/>
      <c r="H15" s="3"/>
    </row>
    <row r="16" spans="1:8" ht="15.75" thickBot="1" x14ac:dyDescent="0.3">
      <c r="B16" s="7" t="s">
        <v>6</v>
      </c>
      <c r="C16" s="113"/>
      <c r="D16" s="113"/>
      <c r="E16" s="113"/>
      <c r="F16" s="113"/>
      <c r="G16" s="114"/>
      <c r="H16" s="3"/>
    </row>
    <row r="17" spans="2:8" ht="15.75" thickBot="1" x14ac:dyDescent="0.3">
      <c r="B17" s="7" t="s">
        <v>7</v>
      </c>
      <c r="C17" s="115" t="s">
        <v>8</v>
      </c>
      <c r="D17" s="115"/>
      <c r="E17" s="115"/>
      <c r="F17" s="115"/>
      <c r="G17" s="116"/>
      <c r="H17" s="3"/>
    </row>
    <row r="18" spans="2:8" ht="15.75" thickBot="1" x14ac:dyDescent="0.3">
      <c r="B18" s="8" t="s">
        <v>9</v>
      </c>
      <c r="C18" s="115" t="s">
        <v>10</v>
      </c>
      <c r="D18" s="115"/>
      <c r="E18" s="115"/>
      <c r="F18" s="115"/>
      <c r="G18" s="116"/>
      <c r="H18" s="3"/>
    </row>
    <row r="19" spans="2:8" ht="27.75" customHeight="1" thickBot="1" x14ac:dyDescent="0.3">
      <c r="B19" s="9" t="s">
        <v>11</v>
      </c>
      <c r="C19" s="117" t="s">
        <v>12</v>
      </c>
      <c r="D19" s="117"/>
      <c r="E19" s="117"/>
      <c r="F19" s="117"/>
      <c r="G19" s="118"/>
      <c r="H19" s="3"/>
    </row>
    <row r="20" spans="2:8" ht="32.450000000000003" customHeight="1" thickBot="1" x14ac:dyDescent="0.3">
      <c r="B20" s="7" t="s">
        <v>13</v>
      </c>
      <c r="C20" s="119" t="s">
        <v>14</v>
      </c>
      <c r="D20" s="119"/>
      <c r="E20" s="119"/>
      <c r="F20" s="119"/>
      <c r="G20" s="120"/>
      <c r="H20" s="3"/>
    </row>
    <row r="21" spans="2:8" ht="30.75" thickBot="1" x14ac:dyDescent="0.3">
      <c r="B21" s="9" t="s">
        <v>15</v>
      </c>
      <c r="C21" s="121" t="s">
        <v>16</v>
      </c>
      <c r="D21" s="121"/>
      <c r="E21" s="121"/>
      <c r="F21" s="121"/>
      <c r="G21" s="122"/>
      <c r="H21" s="3"/>
    </row>
    <row r="22" spans="2:8" ht="15.75" thickBot="1" x14ac:dyDescent="0.3">
      <c r="B22" s="105" t="s">
        <v>17</v>
      </c>
      <c r="C22" s="106"/>
      <c r="D22" s="106"/>
      <c r="E22" s="106"/>
      <c r="F22" s="106"/>
      <c r="G22" s="107"/>
      <c r="H22" s="3"/>
    </row>
    <row r="23" spans="2:8" x14ac:dyDescent="0.25">
      <c r="B23" s="108" t="s">
        <v>18</v>
      </c>
      <c r="C23" s="10" t="s">
        <v>19</v>
      </c>
      <c r="D23" s="11" t="s">
        <v>20</v>
      </c>
      <c r="E23" s="12" t="s">
        <v>21</v>
      </c>
      <c r="F23" s="13" t="s">
        <v>22</v>
      </c>
      <c r="G23" s="14" t="s">
        <v>23</v>
      </c>
      <c r="H23" s="3"/>
    </row>
    <row r="24" spans="2:8" ht="15.75" thickBot="1" x14ac:dyDescent="0.3">
      <c r="B24" s="109"/>
      <c r="C24" s="15"/>
      <c r="D24" s="15"/>
      <c r="E24" s="15" t="s">
        <v>24</v>
      </c>
      <c r="F24" s="15"/>
      <c r="G24" s="16"/>
      <c r="H24" s="3"/>
    </row>
    <row r="25" spans="2:8" x14ac:dyDescent="0.25">
      <c r="B25" s="108" t="s">
        <v>25</v>
      </c>
      <c r="C25" s="10" t="s">
        <v>19</v>
      </c>
      <c r="D25" s="11" t="s">
        <v>20</v>
      </c>
      <c r="E25" s="12" t="s">
        <v>21</v>
      </c>
      <c r="F25" s="13" t="s">
        <v>22</v>
      </c>
      <c r="G25" s="14" t="s">
        <v>23</v>
      </c>
      <c r="H25" s="3"/>
    </row>
    <row r="26" spans="2:8" ht="15.75" thickBot="1" x14ac:dyDescent="0.3">
      <c r="B26" s="109"/>
      <c r="C26" s="15"/>
      <c r="D26" s="15"/>
      <c r="E26" s="15"/>
      <c r="F26" s="15" t="s">
        <v>24</v>
      </c>
      <c r="G26" s="16"/>
      <c r="H26" s="3"/>
    </row>
    <row r="27" spans="2:8" ht="15.75" thickBot="1" x14ac:dyDescent="0.3">
      <c r="B27" s="105" t="s">
        <v>26</v>
      </c>
      <c r="C27" s="106"/>
      <c r="D27" s="106"/>
      <c r="E27" s="106"/>
      <c r="F27" s="106"/>
      <c r="G27" s="107"/>
      <c r="H27" s="3"/>
    </row>
    <row r="28" spans="2:8" x14ac:dyDescent="0.25">
      <c r="B28" s="108" t="s">
        <v>27</v>
      </c>
      <c r="C28" s="10" t="s">
        <v>19</v>
      </c>
      <c r="D28" s="11" t="s">
        <v>20</v>
      </c>
      <c r="E28" s="12" t="s">
        <v>21</v>
      </c>
      <c r="F28" s="13" t="s">
        <v>22</v>
      </c>
      <c r="G28" s="14" t="s">
        <v>23</v>
      </c>
      <c r="H28" s="3"/>
    </row>
    <row r="29" spans="2:8" ht="15.75" thickBot="1" x14ac:dyDescent="0.3">
      <c r="B29" s="109"/>
      <c r="C29" s="15"/>
      <c r="D29" s="15"/>
      <c r="E29" s="15" t="s">
        <v>24</v>
      </c>
      <c r="F29" s="15"/>
      <c r="G29" s="16"/>
      <c r="H29" s="3"/>
    </row>
    <row r="30" spans="2:8" ht="79.150000000000006" customHeight="1" thickBot="1" x14ac:dyDescent="0.3">
      <c r="B30" s="9" t="s">
        <v>28</v>
      </c>
      <c r="C30" s="110" t="s">
        <v>29</v>
      </c>
      <c r="D30" s="111"/>
      <c r="E30" s="111"/>
      <c r="F30" s="111"/>
      <c r="G30" s="112"/>
      <c r="H30" s="3"/>
    </row>
    <row r="31" spans="2:8" ht="31.5" customHeight="1" x14ac:dyDescent="0.25">
      <c r="B31" s="101" t="s">
        <v>30</v>
      </c>
      <c r="C31" s="101"/>
      <c r="D31" s="101"/>
      <c r="E31" s="101"/>
      <c r="F31" s="101"/>
      <c r="G31" s="101"/>
      <c r="H31" s="3"/>
    </row>
    <row r="32" spans="2:8" ht="15.75" thickBot="1" x14ac:dyDescent="0.3">
      <c r="H32" s="3"/>
    </row>
    <row r="33" spans="2:8" ht="15.75" thickBot="1" x14ac:dyDescent="0.3">
      <c r="B33" s="91" t="s">
        <v>31</v>
      </c>
      <c r="C33" s="92"/>
      <c r="D33" s="93"/>
      <c r="E33" s="93"/>
      <c r="F33" s="93"/>
      <c r="G33" s="94"/>
      <c r="H33" s="3"/>
    </row>
    <row r="34" spans="2:8" x14ac:dyDescent="0.25">
      <c r="B34" s="17" t="s">
        <v>32</v>
      </c>
      <c r="C34" s="102" t="s">
        <v>33</v>
      </c>
      <c r="D34" s="103"/>
      <c r="E34" s="103"/>
      <c r="F34" s="103"/>
      <c r="G34" s="104"/>
      <c r="H34" s="3"/>
    </row>
    <row r="35" spans="2:8" x14ac:dyDescent="0.25">
      <c r="B35" s="18" t="s">
        <v>34</v>
      </c>
      <c r="C35" s="81" t="str">
        <f>'Nivel creatividad'!D7</f>
        <v>5</v>
      </c>
      <c r="D35" s="82"/>
      <c r="E35" s="82"/>
      <c r="F35" s="82"/>
      <c r="G35" s="83"/>
      <c r="H35" s="3"/>
    </row>
    <row r="36" spans="2:8" x14ac:dyDescent="0.25">
      <c r="B36" s="18" t="s">
        <v>35</v>
      </c>
      <c r="C36" s="81" t="str">
        <f>'Papel vs Digitalización'!D10</f>
        <v>5</v>
      </c>
      <c r="D36" s="82"/>
      <c r="E36" s="82"/>
      <c r="F36" s="82"/>
      <c r="G36" s="83"/>
      <c r="H36" s="3"/>
    </row>
    <row r="37" spans="2:8" x14ac:dyDescent="0.25">
      <c r="B37" s="18" t="s">
        <v>36</v>
      </c>
      <c r="C37" s="81" t="str">
        <f>'informacion estructurada'!E12</f>
        <v>5</v>
      </c>
      <c r="D37" s="82"/>
      <c r="E37" s="82"/>
      <c r="F37" s="82"/>
      <c r="G37" s="83"/>
      <c r="H37" s="3"/>
    </row>
    <row r="38" spans="2:8" x14ac:dyDescent="0.25">
      <c r="B38" s="19" t="s">
        <v>37</v>
      </c>
      <c r="C38" s="81" t="str">
        <f>Cambios!D11</f>
        <v>5</v>
      </c>
      <c r="D38" s="82"/>
      <c r="E38" s="82"/>
      <c r="F38" s="82"/>
      <c r="G38" s="83"/>
      <c r="H38" s="3"/>
    </row>
    <row r="39" spans="2:8" x14ac:dyDescent="0.25">
      <c r="B39" s="20" t="s">
        <v>38</v>
      </c>
      <c r="C39" s="84">
        <f>(((C35*30)/100)+((C36*30)/100)+((C37*10)/100)+((C38*30)/100))*(100/5)/100</f>
        <v>1</v>
      </c>
      <c r="D39" s="85"/>
      <c r="E39" s="85"/>
      <c r="F39" s="85"/>
      <c r="G39" s="86"/>
      <c r="H39" s="3"/>
    </row>
    <row r="40" spans="2:8" ht="23.25" customHeight="1" thickBot="1" x14ac:dyDescent="0.35">
      <c r="B40" s="87" t="str">
        <f>IF(AND(C39&gt;=0,C39&lt;0.8),"El proceso no es viable para aplicar una automatización",IF(AND(C39&gt;=0.8,C39&lt;=1),"El proceso es viable para aplicar una automatización"))</f>
        <v>El proceso es viable para aplicar una automatización</v>
      </c>
      <c r="C40" s="88"/>
      <c r="D40" s="89"/>
      <c r="E40" s="89"/>
      <c r="F40" s="89"/>
      <c r="G40" s="90"/>
      <c r="H40" s="3"/>
    </row>
    <row r="41" spans="2:8" ht="9.75" customHeight="1" thickBot="1" x14ac:dyDescent="0.3">
      <c r="H41" s="3"/>
    </row>
    <row r="42" spans="2:8" ht="15.75" customHeight="1" thickBot="1" x14ac:dyDescent="0.3">
      <c r="B42" s="91" t="s">
        <v>39</v>
      </c>
      <c r="C42" s="92"/>
      <c r="D42" s="93"/>
      <c r="E42" s="93"/>
      <c r="F42" s="93"/>
      <c r="G42" s="94"/>
      <c r="H42" s="3"/>
    </row>
    <row r="43" spans="2:8" ht="29.25" customHeight="1" thickBot="1" x14ac:dyDescent="0.3">
      <c r="B43" s="95" t="s">
        <v>40</v>
      </c>
      <c r="C43" s="96"/>
      <c r="D43" s="21" t="s">
        <v>41</v>
      </c>
      <c r="E43" s="22" t="s">
        <v>42</v>
      </c>
      <c r="F43" s="23" t="s">
        <v>43</v>
      </c>
      <c r="G43" s="24" t="s">
        <v>44</v>
      </c>
      <c r="H43" s="3"/>
    </row>
    <row r="44" spans="2:8" ht="15.75" thickBot="1" x14ac:dyDescent="0.3">
      <c r="H44" s="3"/>
    </row>
    <row r="45" spans="2:8" x14ac:dyDescent="0.25">
      <c r="B45" s="97" t="s">
        <v>45</v>
      </c>
      <c r="C45" s="98"/>
      <c r="D45" s="99"/>
      <c r="E45" s="99"/>
      <c r="F45" s="99"/>
      <c r="G45" s="100"/>
      <c r="H45" s="3"/>
    </row>
    <row r="46" spans="2:8" ht="15" customHeight="1" x14ac:dyDescent="0.25">
      <c r="B46" s="25" t="s">
        <v>46</v>
      </c>
      <c r="C46" s="80" t="s">
        <v>47</v>
      </c>
      <c r="D46" s="80"/>
      <c r="E46" s="80" t="s">
        <v>48</v>
      </c>
      <c r="F46" s="80"/>
      <c r="G46" s="80"/>
      <c r="H46" s="3"/>
    </row>
    <row r="47" spans="2:8" x14ac:dyDescent="0.25">
      <c r="B47" s="26" t="s">
        <v>49</v>
      </c>
      <c r="C47" s="66"/>
      <c r="D47" s="66"/>
      <c r="E47" s="67"/>
      <c r="F47" s="67"/>
      <c r="G47" s="67"/>
      <c r="H47" s="3"/>
    </row>
    <row r="48" spans="2:8" x14ac:dyDescent="0.25">
      <c r="B48" s="26" t="s">
        <v>49</v>
      </c>
      <c r="C48" s="66"/>
      <c r="D48" s="66"/>
      <c r="E48" s="67"/>
      <c r="F48" s="67"/>
      <c r="G48" s="67"/>
      <c r="H48" s="3"/>
    </row>
    <row r="49" spans="1:8" x14ac:dyDescent="0.25">
      <c r="B49" s="26" t="s">
        <v>46</v>
      </c>
      <c r="C49" s="66"/>
      <c r="D49" s="66"/>
      <c r="E49" s="67"/>
      <c r="F49" s="67"/>
      <c r="G49" s="67"/>
      <c r="H49" s="3"/>
    </row>
    <row r="50" spans="1:8" ht="15.75" thickBot="1" x14ac:dyDescent="0.3">
      <c r="H50" s="3"/>
    </row>
    <row r="51" spans="1:8" x14ac:dyDescent="0.25">
      <c r="B51" s="68" t="s">
        <v>50</v>
      </c>
      <c r="C51" s="69"/>
      <c r="D51" s="69"/>
      <c r="E51" s="69"/>
      <c r="F51" s="69"/>
      <c r="G51" s="70"/>
      <c r="H51" s="3"/>
    </row>
    <row r="52" spans="1:8" x14ac:dyDescent="0.25">
      <c r="B52" s="71" t="s">
        <v>51</v>
      </c>
      <c r="C52" s="72"/>
      <c r="D52" s="72"/>
      <c r="E52" s="72"/>
      <c r="F52" s="72"/>
      <c r="G52" s="73"/>
      <c r="H52" s="3"/>
    </row>
    <row r="53" spans="1:8" x14ac:dyDescent="0.25">
      <c r="B53" s="74"/>
      <c r="C53" s="75"/>
      <c r="D53" s="75"/>
      <c r="E53" s="75"/>
      <c r="F53" s="75"/>
      <c r="G53" s="76"/>
      <c r="H53" s="3"/>
    </row>
    <row r="54" spans="1:8" ht="16.899999999999999" customHeight="1" thickBot="1" x14ac:dyDescent="0.3">
      <c r="B54" s="77"/>
      <c r="C54" s="78"/>
      <c r="D54" s="78"/>
      <c r="E54" s="78"/>
      <c r="F54" s="78"/>
      <c r="G54" s="79"/>
      <c r="H54" s="3"/>
    </row>
    <row r="55" spans="1:8" x14ac:dyDescent="0.25">
      <c r="H55" s="3"/>
    </row>
    <row r="56" spans="1:8" ht="15.75" thickBot="1" x14ac:dyDescent="0.3">
      <c r="A56" s="27"/>
      <c r="B56" s="27"/>
      <c r="C56" s="27"/>
      <c r="D56" s="27"/>
      <c r="E56" s="27"/>
      <c r="F56" s="27"/>
      <c r="G56" s="27"/>
      <c r="H56" s="28"/>
    </row>
    <row r="104" ht="6" customHeight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</sheetData>
  <mergeCells count="40">
    <mergeCell ref="C15:G15"/>
    <mergeCell ref="B8:G8"/>
    <mergeCell ref="B10:G10"/>
    <mergeCell ref="C11:G11"/>
    <mergeCell ref="C12:G12"/>
    <mergeCell ref="B14:G14"/>
    <mergeCell ref="C30:G30"/>
    <mergeCell ref="C16:G16"/>
    <mergeCell ref="C17:G17"/>
    <mergeCell ref="C18:G18"/>
    <mergeCell ref="C19:G19"/>
    <mergeCell ref="C20:G20"/>
    <mergeCell ref="C21:G21"/>
    <mergeCell ref="B22:G22"/>
    <mergeCell ref="B23:B24"/>
    <mergeCell ref="B25:B26"/>
    <mergeCell ref="B27:G27"/>
    <mergeCell ref="B28:B29"/>
    <mergeCell ref="B45:G45"/>
    <mergeCell ref="B31:G31"/>
    <mergeCell ref="B33:G33"/>
    <mergeCell ref="C34:G34"/>
    <mergeCell ref="C35:G35"/>
    <mergeCell ref="C36:G36"/>
    <mergeCell ref="C37:G37"/>
    <mergeCell ref="C38:G38"/>
    <mergeCell ref="C39:G39"/>
    <mergeCell ref="B40:G40"/>
    <mergeCell ref="B42:G42"/>
    <mergeCell ref="B43:C43"/>
    <mergeCell ref="C49:D49"/>
    <mergeCell ref="E49:G49"/>
    <mergeCell ref="B51:G51"/>
    <mergeCell ref="B52:G54"/>
    <mergeCell ref="C46:D46"/>
    <mergeCell ref="E46:G46"/>
    <mergeCell ref="C47:D47"/>
    <mergeCell ref="E47:G47"/>
    <mergeCell ref="C48:D48"/>
    <mergeCell ref="E48:G48"/>
  </mergeCells>
  <conditionalFormatting sqref="B40:G40">
    <cfRule type="expression" dxfId="1" priority="1">
      <formula>$C$39&gt;=0.8</formula>
    </cfRule>
    <cfRule type="expression" dxfId="0" priority="2">
      <formula>$C$39&lt;0.8</formula>
    </cfRule>
  </conditionalFormatting>
  <hyperlinks>
    <hyperlink ref="B35" location="'Nivel creatividad'!A1" display="Proceso estandarizado" xr:uid="{463E0E1B-9FDC-44E3-943A-8BC7019AFD12}"/>
    <hyperlink ref="B36" location="'Papel vs Digitalización'!A1" display="Papel vs digital" xr:uid="{99F0C829-ECC3-4376-ABA7-8424FE016DF8}"/>
    <hyperlink ref="B37" location="'informacion estructurada'!A1" display="Infomación estructurada" xr:uid="{27D6F5CB-681F-42A0-BFE6-D1E0E6A0D122}"/>
    <hyperlink ref="B38" location="Cambios!A1" display="Cambios al proceso" xr:uid="{E14124FD-6B4F-400E-905C-1982D03C60F7}"/>
  </hyperlinks>
  <pageMargins left="0.7" right="0.7" top="1.0287990196078431" bottom="0.8415178571428571" header="0.3" footer="0.3"/>
  <pageSetup scale="64" orientation="portrait" r:id="rId1"/>
  <headerFooter>
    <oddHeader>&amp;C&amp;G</oddHeader>
    <oddFooter>&amp;L&amp;A
&amp;C&amp;G&amp;R&amp;N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86C6-5755-4F8B-BC71-6ECED059C111}">
  <dimension ref="A1:G41"/>
  <sheetViews>
    <sheetView view="pageLayout" zoomScale="115" zoomScaleNormal="100" zoomScalePageLayoutView="115" workbookViewId="0">
      <selection activeCell="F61" sqref="F61"/>
    </sheetView>
  </sheetViews>
  <sheetFormatPr baseColWidth="10" defaultColWidth="11.42578125" defaultRowHeight="15" x14ac:dyDescent="0.25"/>
  <sheetData>
    <row r="1" spans="1:7" x14ac:dyDescent="0.25">
      <c r="A1" s="139" t="s">
        <v>52</v>
      </c>
      <c r="B1" s="139"/>
      <c r="C1" s="139"/>
      <c r="D1" s="139"/>
      <c r="E1" s="139"/>
      <c r="F1" s="139"/>
      <c r="G1" s="139"/>
    </row>
    <row r="38" ht="13.9" customHeight="1" x14ac:dyDescent="0.25"/>
    <row r="39" ht="11.45" hidden="1" customHeight="1" x14ac:dyDescent="0.25"/>
    <row r="40" hidden="1" x14ac:dyDescent="0.25"/>
    <row r="41" hidden="1" x14ac:dyDescent="0.25"/>
  </sheetData>
  <mergeCells count="1">
    <mergeCell ref="A1:G1"/>
  </mergeCells>
  <pageMargins left="0.7" right="0.7" top="1.3229166666666667" bottom="1.25" header="0.3" footer="0.3"/>
  <pageSetup orientation="portrait" r:id="rId1"/>
  <headerFooter>
    <oddHeader>&amp;C&amp;G</oddHeader>
    <oddFooter>&amp;C&amp;G&amp;R&amp;P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F2D4-3E8E-4876-B71E-DDC764978A13}">
  <sheetPr>
    <tabColor rgb="FF8EA9DB"/>
    <pageSetUpPr fitToPage="1"/>
  </sheetPr>
  <dimension ref="A1:H85"/>
  <sheetViews>
    <sheetView view="pageLayout" topLeftCell="A8" zoomScale="130" zoomScaleNormal="100" zoomScaleSheetLayoutView="130" zoomScalePageLayoutView="130" workbookViewId="0">
      <selection activeCell="F61" sqref="F61"/>
    </sheetView>
  </sheetViews>
  <sheetFormatPr baseColWidth="10" defaultColWidth="11.42578125" defaultRowHeight="15" x14ac:dyDescent="0.25"/>
  <cols>
    <col min="1" max="1" width="3.85546875" customWidth="1"/>
    <col min="2" max="2" width="4.7109375" customWidth="1"/>
    <col min="3" max="3" width="38.7109375" customWidth="1"/>
    <col min="4" max="4" width="18.140625" customWidth="1"/>
    <col min="5" max="5" width="16.85546875" customWidth="1"/>
    <col min="6" max="7" width="6.28515625" customWidth="1"/>
    <col min="8" max="8" width="30.5703125" style="30" customWidth="1"/>
  </cols>
  <sheetData>
    <row r="1" spans="1:8" ht="15.75" thickBot="1" x14ac:dyDescent="0.3"/>
    <row r="2" spans="1:8" ht="15.75" thickBot="1" x14ac:dyDescent="0.3">
      <c r="A2" s="31"/>
      <c r="B2" s="1"/>
      <c r="C2" s="1"/>
      <c r="D2" s="1"/>
      <c r="E2" s="1"/>
      <c r="F2" s="2"/>
    </row>
    <row r="3" spans="1:8" ht="15.75" thickBot="1" x14ac:dyDescent="0.3">
      <c r="A3" s="32"/>
      <c r="B3" s="146" t="s">
        <v>53</v>
      </c>
      <c r="C3" s="147"/>
      <c r="D3" s="147"/>
      <c r="E3" s="148"/>
      <c r="F3" s="3"/>
    </row>
    <row r="4" spans="1:8" ht="29.25" customHeight="1" thickBot="1" x14ac:dyDescent="0.3">
      <c r="A4" s="32"/>
      <c r="B4" s="33" t="s">
        <v>54</v>
      </c>
      <c r="C4" s="34" t="s">
        <v>55</v>
      </c>
      <c r="D4" s="149" t="s">
        <v>56</v>
      </c>
      <c r="E4" s="150"/>
      <c r="F4" s="3"/>
      <c r="H4" s="35" t="s">
        <v>57</v>
      </c>
    </row>
    <row r="5" spans="1:8" ht="33" customHeight="1" thickBot="1" x14ac:dyDescent="0.3">
      <c r="A5" s="32"/>
      <c r="B5" s="36">
        <v>1</v>
      </c>
      <c r="C5" s="37" t="s">
        <v>58</v>
      </c>
      <c r="D5" s="151" t="s">
        <v>59</v>
      </c>
      <c r="E5" s="152" t="s">
        <v>60</v>
      </c>
      <c r="F5" s="3"/>
      <c r="H5" s="38" t="s">
        <v>61</v>
      </c>
    </row>
    <row r="6" spans="1:8" ht="15.75" thickBot="1" x14ac:dyDescent="0.3">
      <c r="A6" s="32"/>
      <c r="D6" s="29"/>
      <c r="E6" s="29"/>
      <c r="F6" s="3"/>
      <c r="H6" s="38" t="s">
        <v>62</v>
      </c>
    </row>
    <row r="7" spans="1:8" ht="30.75" thickBot="1" x14ac:dyDescent="0.3">
      <c r="A7" s="32"/>
      <c r="B7" s="153" t="s">
        <v>63</v>
      </c>
      <c r="C7" s="154"/>
      <c r="D7" s="155" t="str">
        <f>IF(D5=H5,"1",IF(D5=H6,"2",IF(D5=H7,"3",IF(D5=H8,"4",IF(D5=H9,"5","FALSO")))))</f>
        <v>5</v>
      </c>
      <c r="E7" s="156"/>
      <c r="F7" s="3"/>
      <c r="H7" s="38" t="s">
        <v>64</v>
      </c>
    </row>
    <row r="8" spans="1:8" ht="15.75" thickBot="1" x14ac:dyDescent="0.3">
      <c r="A8" s="32"/>
      <c r="F8" s="3"/>
      <c r="H8" s="38" t="s">
        <v>60</v>
      </c>
    </row>
    <row r="9" spans="1:8" ht="15.75" thickBot="1" x14ac:dyDescent="0.3">
      <c r="A9" s="32"/>
      <c r="B9" s="68" t="s">
        <v>65</v>
      </c>
      <c r="C9" s="69"/>
      <c r="D9" s="69"/>
      <c r="E9" s="70"/>
      <c r="F9" s="3"/>
      <c r="H9" s="39" t="s">
        <v>59</v>
      </c>
    </row>
    <row r="10" spans="1:8" ht="27.75" customHeight="1" x14ac:dyDescent="0.25">
      <c r="A10" s="32"/>
      <c r="B10" s="140" t="s">
        <v>66</v>
      </c>
      <c r="C10" s="141"/>
      <c r="D10" s="141"/>
      <c r="E10" s="142"/>
      <c r="F10" s="3"/>
    </row>
    <row r="11" spans="1:8" ht="26.25" customHeight="1" thickBot="1" x14ac:dyDescent="0.3">
      <c r="A11" s="32"/>
      <c r="B11" s="143"/>
      <c r="C11" s="144"/>
      <c r="D11" s="144"/>
      <c r="E11" s="145"/>
      <c r="F11" s="3"/>
    </row>
    <row r="12" spans="1:8" x14ac:dyDescent="0.25">
      <c r="A12" s="32"/>
      <c r="F12" s="3"/>
    </row>
    <row r="13" spans="1:8" ht="15.75" thickBot="1" x14ac:dyDescent="0.3">
      <c r="A13" s="32"/>
      <c r="F13" s="3"/>
    </row>
    <row r="14" spans="1:8" ht="15.75" thickBot="1" x14ac:dyDescent="0.3">
      <c r="A14" s="32"/>
      <c r="E14" s="40" t="s">
        <v>67</v>
      </c>
      <c r="F14" s="3"/>
    </row>
    <row r="15" spans="1:8" ht="15.75" thickBot="1" x14ac:dyDescent="0.3">
      <c r="A15" s="41"/>
      <c r="B15" s="27"/>
      <c r="C15" s="27"/>
      <c r="D15" s="27"/>
      <c r="E15" s="27"/>
      <c r="F15" s="28"/>
    </row>
    <row r="85" ht="96" customHeight="1" x14ac:dyDescent="0.25"/>
  </sheetData>
  <mergeCells count="7">
    <mergeCell ref="B10:E11"/>
    <mergeCell ref="B3:E3"/>
    <mergeCell ref="D4:E4"/>
    <mergeCell ref="D5:E5"/>
    <mergeCell ref="B7:C7"/>
    <mergeCell ref="D7:E7"/>
    <mergeCell ref="B9:E9"/>
  </mergeCells>
  <dataValidations count="1">
    <dataValidation type="list" allowBlank="1" showInputMessage="1" showErrorMessage="1" sqref="D5:E5" xr:uid="{A216B04B-A3F3-48ED-B6E5-2EA3E014593C}">
      <formula1>$H$5:$H$9</formula1>
    </dataValidation>
  </dataValidations>
  <hyperlinks>
    <hyperlink ref="E14" location="'Hoja diagnóstico'!A1" display="Ver diagnóstico" xr:uid="{C317CDA3-667E-4BC7-8971-44A9C2481BF8}"/>
  </hyperlinks>
  <pageMargins left="0.7" right="0.7" top="1.0513257575757575" bottom="0.75" header="0.3" footer="0.3"/>
  <pageSetup scale="72" orientation="portrait" r:id="rId1"/>
  <headerFooter>
    <oddHeader>&amp;C&amp;G</oddHeader>
    <oddFooter>&amp;L&amp;A&amp;C&amp;G&amp;R&amp;N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06AA-45BA-4985-B7BC-8F759FF736DE}">
  <sheetPr>
    <tabColor rgb="FF8EA9DB"/>
    <pageSetUpPr fitToPage="1"/>
  </sheetPr>
  <dimension ref="A4:H18"/>
  <sheetViews>
    <sheetView view="pageLayout" topLeftCell="A9" zoomScale="85" zoomScaleNormal="100" zoomScaleSheetLayoutView="100" zoomScalePageLayoutView="85" workbookViewId="0">
      <selection activeCell="F61" sqref="F61"/>
    </sheetView>
  </sheetViews>
  <sheetFormatPr baseColWidth="10" defaultColWidth="11.42578125" defaultRowHeight="15" x14ac:dyDescent="0.25"/>
  <cols>
    <col min="1" max="1" width="6.28515625" customWidth="1"/>
    <col min="2" max="2" width="4.7109375" customWidth="1"/>
    <col min="3" max="3" width="38.7109375" customWidth="1"/>
    <col min="4" max="4" width="18.140625" customWidth="1"/>
    <col min="5" max="5" width="18.42578125" customWidth="1"/>
    <col min="6" max="6" width="4.85546875" customWidth="1"/>
    <col min="7" max="7" width="7" customWidth="1"/>
    <col min="8" max="8" width="36.28515625" customWidth="1"/>
  </cols>
  <sheetData>
    <row r="4" spans="1:8" ht="15.75" thickBot="1" x14ac:dyDescent="0.3"/>
    <row r="5" spans="1:8" ht="15.75" thickBot="1" x14ac:dyDescent="0.3">
      <c r="A5" s="31"/>
      <c r="B5" s="1"/>
      <c r="C5" s="1"/>
      <c r="D5" s="1"/>
      <c r="E5" s="1"/>
      <c r="F5" s="2"/>
    </row>
    <row r="6" spans="1:8" x14ac:dyDescent="0.25">
      <c r="A6" s="32"/>
      <c r="B6" s="146" t="s">
        <v>68</v>
      </c>
      <c r="C6" s="147"/>
      <c r="D6" s="147"/>
      <c r="E6" s="148"/>
      <c r="F6" s="3"/>
    </row>
    <row r="7" spans="1:8" ht="29.25" customHeight="1" thickBot="1" x14ac:dyDescent="0.3">
      <c r="A7" s="32"/>
      <c r="B7" s="33" t="s">
        <v>54</v>
      </c>
      <c r="C7" s="34" t="s">
        <v>55</v>
      </c>
      <c r="D7" s="149" t="s">
        <v>56</v>
      </c>
      <c r="E7" s="150"/>
      <c r="F7" s="3"/>
      <c r="H7" s="42" t="s">
        <v>69</v>
      </c>
    </row>
    <row r="8" spans="1:8" ht="33" customHeight="1" thickBot="1" x14ac:dyDescent="0.3">
      <c r="A8" s="32"/>
      <c r="B8" s="36">
        <v>1</v>
      </c>
      <c r="C8" s="37" t="s">
        <v>70</v>
      </c>
      <c r="D8" s="151" t="s">
        <v>71</v>
      </c>
      <c r="E8" s="152" t="s">
        <v>71</v>
      </c>
      <c r="F8" s="3"/>
      <c r="H8" s="43" t="s">
        <v>72</v>
      </c>
    </row>
    <row r="9" spans="1:8" ht="15.75" thickBot="1" x14ac:dyDescent="0.3">
      <c r="A9" s="32"/>
      <c r="D9" s="29"/>
      <c r="E9" s="29"/>
      <c r="F9" s="3"/>
      <c r="H9" s="43" t="s">
        <v>73</v>
      </c>
    </row>
    <row r="10" spans="1:8" ht="15.75" thickBot="1" x14ac:dyDescent="0.3">
      <c r="A10" s="32"/>
      <c r="B10" s="162" t="s">
        <v>63</v>
      </c>
      <c r="C10" s="163"/>
      <c r="D10" s="164" t="str">
        <f>IF(D8=H8,"1",IF(D8=H9,"2",IF(D8=H10,"3",IF(D8=H11,"4",IF(D8=H12,"5","FALSO")))))</f>
        <v>5</v>
      </c>
      <c r="E10" s="165"/>
      <c r="F10" s="3"/>
      <c r="H10" s="43" t="s">
        <v>74</v>
      </c>
    </row>
    <row r="11" spans="1:8" ht="15.75" thickBot="1" x14ac:dyDescent="0.3">
      <c r="A11" s="32"/>
      <c r="F11" s="3"/>
      <c r="H11" s="43" t="s">
        <v>75</v>
      </c>
    </row>
    <row r="12" spans="1:8" x14ac:dyDescent="0.25">
      <c r="A12" s="32"/>
      <c r="B12" s="68" t="s">
        <v>76</v>
      </c>
      <c r="C12" s="69"/>
      <c r="D12" s="69"/>
      <c r="E12" s="70"/>
      <c r="F12" s="3"/>
      <c r="H12" s="43" t="s">
        <v>71</v>
      </c>
    </row>
    <row r="13" spans="1:8" ht="15" customHeight="1" x14ac:dyDescent="0.25">
      <c r="A13" s="32"/>
      <c r="B13" s="140" t="s">
        <v>77</v>
      </c>
      <c r="C13" s="157"/>
      <c r="D13" s="157"/>
      <c r="E13" s="158"/>
      <c r="F13" s="3"/>
    </row>
    <row r="14" spans="1:8" ht="15.75" thickBot="1" x14ac:dyDescent="0.3">
      <c r="A14" s="32"/>
      <c r="B14" s="159"/>
      <c r="C14" s="160"/>
      <c r="D14" s="160"/>
      <c r="E14" s="161"/>
      <c r="F14" s="3"/>
    </row>
    <row r="15" spans="1:8" x14ac:dyDescent="0.25">
      <c r="A15" s="32"/>
      <c r="F15" s="3"/>
    </row>
    <row r="16" spans="1:8" ht="15.75" thickBot="1" x14ac:dyDescent="0.3">
      <c r="A16" s="32"/>
      <c r="F16" s="3"/>
    </row>
    <row r="17" spans="1:6" ht="15.75" thickBot="1" x14ac:dyDescent="0.3">
      <c r="A17" s="32"/>
      <c r="E17" s="40" t="s">
        <v>67</v>
      </c>
      <c r="F17" s="3"/>
    </row>
    <row r="18" spans="1:6" ht="15.75" thickBot="1" x14ac:dyDescent="0.3">
      <c r="A18" s="41"/>
      <c r="B18" s="27"/>
      <c r="C18" s="27"/>
      <c r="D18" s="27"/>
      <c r="E18" s="27"/>
      <c r="F18" s="28"/>
    </row>
  </sheetData>
  <mergeCells count="7">
    <mergeCell ref="B13:E14"/>
    <mergeCell ref="B6:E6"/>
    <mergeCell ref="D7:E7"/>
    <mergeCell ref="D8:E8"/>
    <mergeCell ref="B10:C10"/>
    <mergeCell ref="D10:E10"/>
    <mergeCell ref="B12:E12"/>
  </mergeCells>
  <dataValidations count="1">
    <dataValidation type="list" allowBlank="1" showInputMessage="1" showErrorMessage="1" sqref="D8:E8" xr:uid="{9E8A9A70-137B-4E72-A8EA-551956BABA8E}">
      <formula1>$H$8:$H$12</formula1>
    </dataValidation>
  </dataValidations>
  <hyperlinks>
    <hyperlink ref="E17" location="'Hoja diagnóstico'!A1" display="Ver diagnóstico" xr:uid="{8E82487F-AD2C-4125-B987-25AAD220EE0C}"/>
  </hyperlinks>
  <pageMargins left="0.7" right="0.7" top="0.45916666666666667" bottom="0.37406250000000002" header="0.3" footer="0.3"/>
  <pageSetup scale="62" orientation="portrait" r:id="rId1"/>
  <headerFooter>
    <oddHeader>&amp;C&amp;G</oddHeader>
    <oddFooter>&amp;L&amp;A
&amp;C&amp;G&amp;R&amp;P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16AC-B953-4BFF-BE89-166999B03EEB}">
  <sheetPr>
    <tabColor rgb="FF8EA9DB"/>
    <pageSetUpPr fitToPage="1"/>
  </sheetPr>
  <dimension ref="B6:I20"/>
  <sheetViews>
    <sheetView view="pageLayout" topLeftCell="A20" zoomScale="85" zoomScaleNormal="100" zoomScaleSheetLayoutView="110" zoomScalePageLayoutView="85" workbookViewId="0">
      <selection activeCell="F61" sqref="F61"/>
    </sheetView>
  </sheetViews>
  <sheetFormatPr baseColWidth="10" defaultColWidth="11.42578125" defaultRowHeight="18.75" x14ac:dyDescent="0.3"/>
  <cols>
    <col min="1" max="2" width="6.28515625" customWidth="1"/>
    <col min="3" max="3" width="4.7109375" style="44" customWidth="1"/>
    <col min="4" max="4" width="38.7109375" style="44" customWidth="1"/>
    <col min="5" max="5" width="18.140625" style="44" customWidth="1"/>
    <col min="6" max="6" width="18.7109375" style="44" customWidth="1"/>
    <col min="7" max="7" width="5" style="44" customWidth="1"/>
    <col min="8" max="8" width="4.42578125" style="44" customWidth="1"/>
    <col min="9" max="9" width="41.28515625" style="45" customWidth="1"/>
  </cols>
  <sheetData>
    <row r="6" spans="2:9" ht="19.5" thickBot="1" x14ac:dyDescent="0.35"/>
    <row r="7" spans="2:9" ht="19.5" thickBot="1" x14ac:dyDescent="0.35">
      <c r="B7" s="46"/>
      <c r="C7" s="47"/>
      <c r="D7" s="47"/>
      <c r="E7" s="47"/>
      <c r="F7" s="47"/>
      <c r="G7" s="48"/>
    </row>
    <row r="8" spans="2:9" x14ac:dyDescent="0.3">
      <c r="B8" s="49"/>
      <c r="C8" s="172" t="s">
        <v>78</v>
      </c>
      <c r="D8" s="173"/>
      <c r="E8" s="173"/>
      <c r="F8" s="174"/>
      <c r="G8" s="50"/>
    </row>
    <row r="9" spans="2:9" ht="29.25" customHeight="1" thickBot="1" x14ac:dyDescent="0.35">
      <c r="B9" s="49"/>
      <c r="C9" s="51" t="s">
        <v>54</v>
      </c>
      <c r="D9" s="52" t="s">
        <v>55</v>
      </c>
      <c r="E9" s="175" t="s">
        <v>56</v>
      </c>
      <c r="F9" s="176"/>
      <c r="G9" s="50"/>
      <c r="I9" s="53" t="s">
        <v>79</v>
      </c>
    </row>
    <row r="10" spans="2:9" ht="45.75" customHeight="1" thickBot="1" x14ac:dyDescent="0.35">
      <c r="B10" s="49"/>
      <c r="C10" s="54">
        <v>1</v>
      </c>
      <c r="D10" s="55" t="s">
        <v>80</v>
      </c>
      <c r="E10" s="177" t="s">
        <v>81</v>
      </c>
      <c r="F10" s="178" t="s">
        <v>82</v>
      </c>
      <c r="G10" s="50"/>
      <c r="I10" s="56" t="s">
        <v>83</v>
      </c>
    </row>
    <row r="11" spans="2:9" ht="19.5" thickBot="1" x14ac:dyDescent="0.35">
      <c r="B11" s="49"/>
      <c r="E11" s="57"/>
      <c r="F11" s="57"/>
      <c r="G11" s="50"/>
      <c r="I11" s="56" t="s">
        <v>84</v>
      </c>
    </row>
    <row r="12" spans="2:9" ht="38.25" thickBot="1" x14ac:dyDescent="0.35">
      <c r="B12" s="49"/>
      <c r="C12" s="179" t="s">
        <v>63</v>
      </c>
      <c r="D12" s="180"/>
      <c r="E12" s="181" t="str">
        <f>IF(E10=I10,"1",IF(E10=I11,"2",IF(E10=I12,"3",IF(E10=I13,"4",IF(E10=I14,"5","FALSO")))))</f>
        <v>5</v>
      </c>
      <c r="F12" s="182"/>
      <c r="G12" s="50"/>
      <c r="I12" s="56" t="s">
        <v>85</v>
      </c>
    </row>
    <row r="13" spans="2:9" ht="38.25" thickBot="1" x14ac:dyDescent="0.35">
      <c r="B13" s="49"/>
      <c r="G13" s="50"/>
      <c r="I13" s="56" t="s">
        <v>82</v>
      </c>
    </row>
    <row r="14" spans="2:9" ht="37.5" x14ac:dyDescent="0.3">
      <c r="B14" s="49"/>
      <c r="C14" s="183" t="s">
        <v>86</v>
      </c>
      <c r="D14" s="184"/>
      <c r="E14" s="184"/>
      <c r="F14" s="185"/>
      <c r="G14" s="50"/>
      <c r="I14" s="56" t="s">
        <v>81</v>
      </c>
    </row>
    <row r="15" spans="2:9" ht="15" customHeight="1" x14ac:dyDescent="0.3">
      <c r="B15" s="49"/>
      <c r="C15" s="166" t="s">
        <v>87</v>
      </c>
      <c r="D15" s="167"/>
      <c r="E15" s="167"/>
      <c r="F15" s="168"/>
      <c r="G15" s="50"/>
    </row>
    <row r="16" spans="2:9" ht="38.25" customHeight="1" thickBot="1" x14ac:dyDescent="0.35">
      <c r="B16" s="49"/>
      <c r="C16" s="169"/>
      <c r="D16" s="170"/>
      <c r="E16" s="170"/>
      <c r="F16" s="171"/>
      <c r="G16" s="50"/>
    </row>
    <row r="17" spans="2:7" x14ac:dyDescent="0.3">
      <c r="B17" s="49"/>
      <c r="G17" s="50"/>
    </row>
    <row r="18" spans="2:7" ht="19.5" thickBot="1" x14ac:dyDescent="0.35">
      <c r="B18" s="49"/>
      <c r="G18" s="50"/>
    </row>
    <row r="19" spans="2:7" ht="19.5" thickBot="1" x14ac:dyDescent="0.35">
      <c r="B19" s="49"/>
      <c r="F19" s="58" t="s">
        <v>67</v>
      </c>
      <c r="G19" s="50"/>
    </row>
    <row r="20" spans="2:7" ht="19.5" thickBot="1" x14ac:dyDescent="0.35">
      <c r="B20" s="59"/>
      <c r="C20" s="60"/>
      <c r="D20" s="60"/>
      <c r="E20" s="60"/>
      <c r="F20" s="60"/>
      <c r="G20" s="61"/>
    </row>
  </sheetData>
  <mergeCells count="7">
    <mergeCell ref="C15:F16"/>
    <mergeCell ref="C8:F8"/>
    <mergeCell ref="E9:F9"/>
    <mergeCell ref="E10:F10"/>
    <mergeCell ref="C12:D12"/>
    <mergeCell ref="E12:F12"/>
    <mergeCell ref="C14:F14"/>
  </mergeCells>
  <dataValidations count="1">
    <dataValidation type="list" allowBlank="1" showInputMessage="1" showErrorMessage="1" sqref="E10:F10" xr:uid="{126639DE-8B8D-4FE0-820E-6FB8EC6972B2}">
      <formula1>$I$10:$I$14</formula1>
    </dataValidation>
  </dataValidations>
  <hyperlinks>
    <hyperlink ref="F19" location="'Hoja diagnóstico'!A1" display="Ver diagnóstico" xr:uid="{F4E477C1-1C61-43A9-8880-27BE2474584E}"/>
  </hyperlinks>
  <pageMargins left="0.7" right="0.7" top="0.4107142857142857" bottom="0.75" header="0.3" footer="0.3"/>
  <pageSetup scale="63" orientation="portrait" r:id="rId1"/>
  <headerFooter>
    <oddHeader>&amp;C&amp;G</oddHeader>
    <oddFooter>&amp;L&amp;A
&amp;C&amp;G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EDDF-AE99-451C-8168-F436EDBB6F65}">
  <sheetPr>
    <tabColor rgb="FF8EA9DB"/>
    <pageSetUpPr fitToPage="1"/>
  </sheetPr>
  <dimension ref="A5:H19"/>
  <sheetViews>
    <sheetView view="pageLayout" topLeftCell="A9" zoomScaleNormal="100" zoomScaleSheetLayoutView="110" workbookViewId="0">
      <selection activeCell="F61" sqref="F61"/>
    </sheetView>
  </sheetViews>
  <sheetFormatPr baseColWidth="10" defaultColWidth="11.42578125" defaultRowHeight="15" x14ac:dyDescent="0.25"/>
  <cols>
    <col min="1" max="1" width="7.28515625" customWidth="1"/>
    <col min="2" max="2" width="4.7109375" customWidth="1"/>
    <col min="3" max="3" width="34.7109375" customWidth="1"/>
    <col min="4" max="4" width="18.140625" customWidth="1"/>
    <col min="5" max="5" width="16.85546875" customWidth="1"/>
    <col min="6" max="6" width="4" customWidth="1"/>
    <col min="7" max="7" width="4.140625" customWidth="1"/>
    <col min="8" max="8" width="53.28515625" style="62" customWidth="1"/>
  </cols>
  <sheetData>
    <row r="5" spans="1:8" ht="15.75" thickBot="1" x14ac:dyDescent="0.3"/>
    <row r="6" spans="1:8" ht="15.75" thickBot="1" x14ac:dyDescent="0.3">
      <c r="A6" s="31"/>
      <c r="B6" s="1"/>
      <c r="C6" s="1"/>
      <c r="D6" s="1"/>
      <c r="E6" s="1"/>
      <c r="F6" s="2"/>
    </row>
    <row r="7" spans="1:8" x14ac:dyDescent="0.25">
      <c r="A7" s="32"/>
      <c r="B7" s="146" t="s">
        <v>88</v>
      </c>
      <c r="C7" s="147"/>
      <c r="D7" s="147"/>
      <c r="E7" s="148"/>
      <c r="F7" s="3"/>
    </row>
    <row r="8" spans="1:8" ht="29.25" customHeight="1" thickBot="1" x14ac:dyDescent="0.3">
      <c r="A8" s="32"/>
      <c r="B8" s="33" t="s">
        <v>54</v>
      </c>
      <c r="C8" s="34" t="s">
        <v>55</v>
      </c>
      <c r="D8" s="149" t="s">
        <v>56</v>
      </c>
      <c r="E8" s="150"/>
      <c r="F8" s="3"/>
      <c r="H8" s="63" t="s">
        <v>89</v>
      </c>
    </row>
    <row r="9" spans="1:8" ht="67.900000000000006" customHeight="1" thickBot="1" x14ac:dyDescent="0.3">
      <c r="A9" s="32"/>
      <c r="B9" s="6">
        <v>1</v>
      </c>
      <c r="C9" s="64" t="s">
        <v>90</v>
      </c>
      <c r="D9" s="151" t="s">
        <v>91</v>
      </c>
      <c r="E9" s="152" t="s">
        <v>91</v>
      </c>
      <c r="F9" s="3"/>
      <c r="H9" s="65" t="s">
        <v>92</v>
      </c>
    </row>
    <row r="10" spans="1:8" ht="15.75" thickBot="1" x14ac:dyDescent="0.3">
      <c r="A10" s="32"/>
      <c r="D10" s="29"/>
      <c r="E10" s="29"/>
      <c r="F10" s="3"/>
      <c r="H10" s="65" t="s">
        <v>93</v>
      </c>
    </row>
    <row r="11" spans="1:8" ht="30.75" thickBot="1" x14ac:dyDescent="0.3">
      <c r="A11" s="32"/>
      <c r="B11" s="162" t="s">
        <v>63</v>
      </c>
      <c r="C11" s="163"/>
      <c r="D11" s="164" t="str">
        <f>IF(D9=H9,"1",IF(D9=H10,"2",IF(D9=H11,"3",IF(D9=H12,"4",IF(D9=H13,"5","FALSO")))))</f>
        <v>5</v>
      </c>
      <c r="E11" s="165"/>
      <c r="F11" s="3"/>
      <c r="H11" s="65" t="s">
        <v>94</v>
      </c>
    </row>
    <row r="12" spans="1:8" ht="15.75" thickBot="1" x14ac:dyDescent="0.3">
      <c r="A12" s="32"/>
      <c r="F12" s="3"/>
      <c r="H12" s="65" t="s">
        <v>95</v>
      </c>
    </row>
    <row r="13" spans="1:8" x14ac:dyDescent="0.25">
      <c r="A13" s="32"/>
      <c r="B13" s="68" t="s">
        <v>96</v>
      </c>
      <c r="C13" s="69"/>
      <c r="D13" s="69"/>
      <c r="E13" s="70"/>
      <c r="F13" s="3"/>
      <c r="H13" s="65" t="s">
        <v>91</v>
      </c>
    </row>
    <row r="14" spans="1:8" ht="15" customHeight="1" x14ac:dyDescent="0.25">
      <c r="A14" s="32"/>
      <c r="B14" s="140" t="s">
        <v>97</v>
      </c>
      <c r="C14" s="157"/>
      <c r="D14" s="157"/>
      <c r="E14" s="158"/>
      <c r="F14" s="3"/>
    </row>
    <row r="15" spans="1:8" ht="15.75" thickBot="1" x14ac:dyDescent="0.3">
      <c r="A15" s="32"/>
      <c r="B15" s="159"/>
      <c r="C15" s="160"/>
      <c r="D15" s="160"/>
      <c r="E15" s="161"/>
      <c r="F15" s="3"/>
    </row>
    <row r="16" spans="1:8" x14ac:dyDescent="0.25">
      <c r="A16" s="32"/>
      <c r="F16" s="3"/>
    </row>
    <row r="17" spans="1:6" ht="15.75" thickBot="1" x14ac:dyDescent="0.3">
      <c r="A17" s="32"/>
      <c r="F17" s="3"/>
    </row>
    <row r="18" spans="1:6" ht="15.75" thickBot="1" x14ac:dyDescent="0.3">
      <c r="A18" s="32"/>
      <c r="E18" s="40" t="s">
        <v>67</v>
      </c>
      <c r="F18" s="3"/>
    </row>
    <row r="19" spans="1:6" ht="15.75" thickBot="1" x14ac:dyDescent="0.3">
      <c r="A19" s="41"/>
      <c r="B19" s="27"/>
      <c r="C19" s="27"/>
      <c r="D19" s="27"/>
      <c r="E19" s="27"/>
      <c r="F19" s="28"/>
    </row>
  </sheetData>
  <mergeCells count="7">
    <mergeCell ref="B14:E15"/>
    <mergeCell ref="B7:E7"/>
    <mergeCell ref="D8:E8"/>
    <mergeCell ref="D9:E9"/>
    <mergeCell ref="B11:C11"/>
    <mergeCell ref="D11:E11"/>
    <mergeCell ref="B13:E13"/>
  </mergeCells>
  <dataValidations count="1">
    <dataValidation type="list" allowBlank="1" showInputMessage="1" showErrorMessage="1" sqref="D9:E9" xr:uid="{50CB5B30-32D5-4288-A067-8DCA1800CC6F}">
      <formula1>$H$9:$H$13</formula1>
    </dataValidation>
  </dataValidations>
  <hyperlinks>
    <hyperlink ref="E18" location="'Hoja diagnóstico'!A1" display="Ver diagnóstico" xr:uid="{90FABFB7-3256-4E1E-BAD8-6A0853846DA2}"/>
  </hyperlinks>
  <pageMargins left="0.7" right="0.7" top="0.49583333333333335" bottom="0.75" header="0.3" footer="0.3"/>
  <pageSetup scale="63" orientation="portrait" r:id="rId1"/>
  <headerFooter>
    <oddHeader>&amp;C&amp;G</oddHeader>
    <oddFooter>&amp;L&amp;A
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DC99-8323-4120-918B-86C0BC2396F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Hoja diagnóstico</vt:lpstr>
      <vt:lpstr>FLUJO</vt:lpstr>
      <vt:lpstr>Nivel creatividad</vt:lpstr>
      <vt:lpstr>Papel vs Digitalización</vt:lpstr>
      <vt:lpstr>informacion estructurada</vt:lpstr>
      <vt:lpstr>Cambios</vt:lpstr>
      <vt:lpstr>Hoja1</vt:lpstr>
      <vt:lpstr>Cambios!Área_de_impresión</vt:lpstr>
      <vt:lpstr>'Hoja diagnóstico'!Área_de_impresión</vt:lpstr>
      <vt:lpstr>'informacion estructurada'!Área_de_impresión</vt:lpstr>
      <vt:lpstr>'Nivel creatividad'!Área_de_impresión</vt:lpstr>
      <vt:lpstr>'Papel vs Digitalización'!Área_de_impresión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MANUEL COLORADO BURITICA</dc:creator>
  <cp:lastModifiedBy>joan sebasian suarez cardona</cp:lastModifiedBy>
  <dcterms:created xsi:type="dcterms:W3CDTF">2026-03-09T19:37:07Z</dcterms:created>
  <dcterms:modified xsi:type="dcterms:W3CDTF">2026-03-19T03:12:03Z</dcterms:modified>
</cp:coreProperties>
</file>